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B86EAC8-A8B5-4195-8343-81E463CFFF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<sst xmlns="http://schemas.openxmlformats.org/spreadsheetml/2006/main" count="20" uniqueCount="15">
  <si>
    <t>Employee name</t>
  </si>
  <si>
    <t>Start date</t>
  </si>
  <si>
    <t>Position</t>
  </si>
  <si>
    <t>Type of contract</t>
  </si>
  <si>
    <t>Employment period (until 31.01.2026)</t>
  </si>
  <si>
    <t>Jovan Kupusović</t>
  </si>
  <si>
    <t>HR</t>
  </si>
  <si>
    <t>temporary</t>
  </si>
  <si>
    <t>Ana Janković</t>
  </si>
  <si>
    <t>Software Developer</t>
  </si>
  <si>
    <t>permanent</t>
  </si>
  <si>
    <t>Mitar Bešlić</t>
  </si>
  <si>
    <t>Project Manager</t>
  </si>
  <si>
    <t>Marko Vukašinović</t>
  </si>
  <si>
    <t>Vasilije Bjelica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</si>
</sst>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71" formatCode="yyyy\-mm\-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/>
    <xf numFmtId="171" fontId="0" fillId="0" borderId="0" xfId="0" applyNumberFormat="1"/>
  </cellXfs>
  <cellStyles count="1">
    <cellStyle name="Normalan" xfId="0" builtinId="0"/>
  </cellStyles>
  <dxfs count="3">
    <dxf>
      <numFmt numFmtId="0" formatCode="General"/>
    </dxf>
    <dxf>
      <numFmt numFmtId="164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10796B-4678-48CB-8853-EB25A8AB1399}" name="Tabela2" displayName="Tabela2" ref="A1:E6" totalsRowShown="0" headerRowDxfId="2">
  <autoFilter ref="A1:E6" xr:uid="{2110796B-4678-48CB-8853-EB25A8AB1399}"/>
  <tableColumns count="5">
    <tableColumn id="1" xr3:uid="{C5AD2A78-16E7-4E53-AC24-5C991ED1FDDD}" name="Employee name"/>
    <tableColumn id="2" xr3:uid="{B90488B9-C132-4A82-B6C7-9C5F739B59A4}" name="Start date" dataDxfId="1"/>
    <tableColumn id="3" xr3:uid="{6B535717-0E0A-4CEB-BBFB-04513B65913C}" name="Position"/>
    <tableColumn id="4" xr3:uid="{B29384A6-44B2-4618-8250-B2483D0B6221}" name="Type of contract"/>
    <tableColumn id="5" xr3:uid="{171524F3-E994-4C83-AB6A-5E5847D5ED35}" name="Employment period (until 31.01.2026)" dataDxfId="0">
      <calculatedColumnFormula>DATEDIF(B2, DATE(2026,1,31),"d")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E9" sqref="E9"/>
    </sheetView>
  </sheetViews>
  <sheetFormatPr defaultRowHeight="15"/>
  <cols>
    <col min="1" max="1" width="17.42578125" bestFit="1" customWidth="1"/>
    <col min="2" max="2" width="15.7109375" style="6" bestFit="1" customWidth="1"/>
    <col min="3" max="3" width="18.140625" bestFit="1" customWidth="1"/>
    <col min="4" max="4" width="17.7109375" bestFit="1" customWidth="1"/>
    <col min="5" max="5" width="36.5703125" bestFit="1" customWidth="1"/>
  </cols>
  <sheetData>
    <row r="1" spans="1:12" s="1" customFormat="1">
      <c r="A1" s="1" t="s">
        <v>0</v>
      </c>
      <c r="B1" s="5" t="s">
        <v>1</v>
      </c>
      <c r="C1" s="1" t="s">
        <v>2</v>
      </c>
      <c r="D1" s="1" t="s">
        <v>3</v>
      </c>
      <c r="E1" s="3" t="s">
        <v>4</v>
      </c>
    </row>
    <row r="2" spans="1:12">
      <c r="A2" t="s">
        <v>5</v>
      </c>
      <c r="B2" s="2">
        <f>DATE(2026,1,15)</f>
        <v>46037</v>
      </c>
      <c r="C2" t="s">
        <v>6</v>
      </c>
      <c r="D2" t="s">
        <v>7</v>
      </c>
      <c r="E2" s="4">
        <f>DATEDIF(B2, DATE(2026,1,31),"d")</f>
        <v>16</v>
      </c>
    </row>
    <row r="3" spans="1:12">
      <c r="A3" t="s">
        <v>8</v>
      </c>
      <c r="B3" s="2">
        <f>DATE(2025,1,2)</f>
        <v>45659</v>
      </c>
      <c r="C3" t="s">
        <v>9</v>
      </c>
      <c r="D3" t="s">
        <v>10</v>
      </c>
      <c r="E3" s="4">
        <f t="shared" ref="E3:E6" si="0">DATEDIF(B3, DATE(2026,1,31),"d")</f>
        <v>394</v>
      </c>
    </row>
    <row r="4" spans="1:12">
      <c r="A4" t="s">
        <v>11</v>
      </c>
      <c r="B4" s="2">
        <f>DATE(2019, 9,9)</f>
        <v>43717</v>
      </c>
      <c r="C4" t="s">
        <v>12</v>
      </c>
      <c r="D4" t="s">
        <v>10</v>
      </c>
      <c r="E4" s="4">
        <f t="shared" si="0"/>
        <v>2336</v>
      </c>
    </row>
    <row r="5" spans="1:12">
      <c r="A5" t="s">
        <v>13</v>
      </c>
      <c r="B5" s="2">
        <f>DATE(2018,1,2)</f>
        <v>43102</v>
      </c>
      <c r="C5" t="s">
        <v>9</v>
      </c>
      <c r="D5" t="s">
        <v>10</v>
      </c>
      <c r="E5" s="4">
        <f t="shared" si="0"/>
        <v>2951</v>
      </c>
    </row>
    <row r="6" spans="1:12">
      <c r="A6" t="s">
        <v>14</v>
      </c>
      <c r="B6" s="2">
        <f>DATE(2022,2,2)</f>
        <v>44594</v>
      </c>
      <c r="C6" t="s">
        <v>12</v>
      </c>
      <c r="D6" t="s">
        <v>7</v>
      </c>
      <c r="E6" s="4">
        <f t="shared" si="0"/>
        <v>1459</v>
      </c>
    </row>
    <row r="13" spans="1:12">
      <c r="L1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2026-02-13T21:30:54Z</dcterms:created>
  <dcterms:modified xsi:type="dcterms:W3CDTF">2026-02-14T02:42:02Z</dcterms:modified>
  <cp:category/>
  <cp:contentStatus/>
</cp:coreProperties>
</file>